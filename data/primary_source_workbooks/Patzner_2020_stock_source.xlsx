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niquesezannepatzner/Desktop/Final Submission to Nature Communications/Data deposit/Supplementary Information/"/>
    </mc:Choice>
  </mc:AlternateContent>
  <xr:revisionPtr revIDLastSave="0" documentId="13_ncr:1_{359CF26A-B5D2-894F-BF33-EA72A6D7963D}" xr6:coauthVersionLast="45" xr6:coauthVersionMax="45" xr10:uidLastSave="{00000000-0000-0000-0000-000000000000}"/>
  <bookViews>
    <workbookView xWindow="0" yWindow="460" windowWidth="25600" windowHeight="14580" xr2:uid="{F7A138C7-F3E3-6049-8013-8C487B574826}"/>
  </bookViews>
  <sheets>
    <sheet name="Not compaction corrected" sheetId="1" r:id="rId1"/>
    <sheet name="Compaction corrected" sheetId="2" r:id="rId2"/>
    <sheet name="Calculation of compaction" sheetId="3" r:id="rId3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7" i="3" l="1"/>
  <c r="J27" i="3" s="1"/>
  <c r="H19" i="3"/>
  <c r="J19" i="3" s="1"/>
  <c r="H9" i="3"/>
  <c r="H8" i="3"/>
  <c r="J8" i="3" s="1"/>
</calcChain>
</file>

<file path=xl/sharedStrings.xml><?xml version="1.0" encoding="utf-8"?>
<sst xmlns="http://schemas.openxmlformats.org/spreadsheetml/2006/main" count="132" uniqueCount="26">
  <si>
    <t>Palsa A</t>
  </si>
  <si>
    <t>Horizon</t>
  </si>
  <si>
    <t>Organic horizon</t>
  </si>
  <si>
    <t>Transition zone</t>
  </si>
  <si>
    <t>Mineral horizon</t>
  </si>
  <si>
    <t>Bog C</t>
  </si>
  <si>
    <t>Fen E</t>
  </si>
  <si>
    <t>Stock of reactive Fe and associated organic carbon along the permafrost thaw gradient</t>
  </si>
  <si>
    <t>Dithionite/citrate extractable Fe (control corrected)</t>
  </si>
  <si>
    <t>Dithionite citrate extractable OC (control corrected)</t>
  </si>
  <si>
    <t>reactive Fe associated OC [g/cm^2]</t>
  </si>
  <si>
    <t>reactive Fe [g/cm^2]</t>
  </si>
  <si>
    <t>Bulk density [g/cm^3]</t>
  </si>
  <si>
    <t>0..84</t>
  </si>
  <si>
    <t>Layer thickness of cores in liner [cm]</t>
  </si>
  <si>
    <t>Layer thickness with compaction correction[cm]</t>
  </si>
  <si>
    <t>Compaction during coring</t>
  </si>
  <si>
    <t>Core hole depth from surface [cm]</t>
  </si>
  <si>
    <t>Core length in liner [cm]</t>
  </si>
  <si>
    <t>Assumption</t>
  </si>
  <si>
    <t>Compaction</t>
  </si>
  <si>
    <t>No compaction</t>
  </si>
  <si>
    <t>Layer thickness with compaction [cm]</t>
  </si>
  <si>
    <t>Calculation</t>
  </si>
  <si>
    <t>Compaction factor</t>
  </si>
  <si>
    <t>Error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</si>
</sst>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01220-5F2B-6A4F-8644-E60D6F426C38}">
  <dimension ref="A3:H29"/>
  <sheetViews>
    <sheetView tabSelected="1" topLeftCell="A5" workbookViewId="0">
      <selection activeCell="H26" sqref="H26"/>
    </sheetView>
  </sheetViews>
  <sheetFormatPr baseColWidth="10" defaultRowHeight="16" x14ac:dyDescent="0.2"/>
  <cols>
    <col min="2" max="2" width="17.1640625" customWidth="1"/>
    <col min="3" max="3" width="31" customWidth="1"/>
    <col min="4" max="4" width="19" customWidth="1"/>
    <col min="5" max="5" width="46.33203125" customWidth="1"/>
    <col min="7" max="7" width="44.6640625" customWidth="1"/>
  </cols>
  <sheetData>
    <row r="3" spans="1:8" x14ac:dyDescent="0.2">
      <c r="A3" s="1" t="s">
        <v>7</v>
      </c>
    </row>
    <row r="5" spans="1:8" x14ac:dyDescent="0.2">
      <c r="A5" t="s">
        <v>0</v>
      </c>
    </row>
    <row r="6" spans="1:8" x14ac:dyDescent="0.2">
      <c r="E6" t="s">
        <v>8</v>
      </c>
      <c r="G6" t="s">
        <v>9</v>
      </c>
    </row>
    <row r="7" spans="1:8" x14ac:dyDescent="0.2">
      <c r="B7" t="s">
        <v>1</v>
      </c>
      <c r="C7" t="s">
        <v>14</v>
      </c>
      <c r="D7" t="s">
        <v>12</v>
      </c>
      <c r="E7" t="s">
        <v>11</v>
      </c>
      <c r="F7" t="s">
        <v>25</v>
      </c>
      <c r="G7" t="s">
        <v>10</v>
      </c>
      <c r="H7" t="s">
        <v>25</v>
      </c>
    </row>
    <row r="8" spans="1:8" x14ac:dyDescent="0.2">
      <c r="B8" t="s">
        <v>2</v>
      </c>
      <c r="C8" s="2">
        <v>9</v>
      </c>
      <c r="D8" s="2">
        <v>0.03</v>
      </c>
      <c r="E8" s="3">
        <v>9.3149999999999997E-2</v>
      </c>
      <c r="F8" s="3">
        <v>2.4849999999999959E-2</v>
      </c>
      <c r="G8" s="3">
        <v>0.41849999999999998</v>
      </c>
      <c r="H8" s="3">
        <v>0.17469999999999983</v>
      </c>
    </row>
    <row r="9" spans="1:8" x14ac:dyDescent="0.2">
      <c r="B9" t="s">
        <v>3</v>
      </c>
      <c r="C9" s="2">
        <v>4</v>
      </c>
      <c r="D9" s="2">
        <v>0.08</v>
      </c>
      <c r="E9" s="3">
        <v>1.7584</v>
      </c>
      <c r="F9" s="3">
        <v>0.96240000000000003</v>
      </c>
      <c r="G9" s="3">
        <v>13.3584</v>
      </c>
      <c r="H9" s="3">
        <v>3.4616000000000011</v>
      </c>
    </row>
    <row r="10" spans="1:8" x14ac:dyDescent="0.2">
      <c r="B10" t="s">
        <v>4</v>
      </c>
      <c r="C10" s="2">
        <v>10</v>
      </c>
      <c r="D10" s="2" t="s">
        <v>13</v>
      </c>
      <c r="E10" s="3">
        <v>18.984000000000002</v>
      </c>
      <c r="F10" s="3">
        <v>7.9039999999999937</v>
      </c>
      <c r="G10" s="3">
        <v>172.07400000000001</v>
      </c>
      <c r="H10" s="3">
        <v>58.261999999999979</v>
      </c>
    </row>
    <row r="16" spans="1:8" x14ac:dyDescent="0.2">
      <c r="A16" t="s">
        <v>5</v>
      </c>
    </row>
    <row r="17" spans="1:8" x14ac:dyDescent="0.2">
      <c r="E17" t="s">
        <v>8</v>
      </c>
      <c r="G17" t="s">
        <v>9</v>
      </c>
    </row>
    <row r="18" spans="1:8" x14ac:dyDescent="0.2">
      <c r="B18" t="s">
        <v>1</v>
      </c>
      <c r="C18" t="s">
        <v>14</v>
      </c>
      <c r="D18" t="s">
        <v>12</v>
      </c>
      <c r="E18" t="s">
        <v>11</v>
      </c>
      <c r="F18" t="s">
        <v>25</v>
      </c>
      <c r="G18" t="s">
        <v>10</v>
      </c>
      <c r="H18" t="s">
        <v>25</v>
      </c>
    </row>
    <row r="19" spans="1:8" x14ac:dyDescent="0.2">
      <c r="B19" t="s">
        <v>2</v>
      </c>
      <c r="C19" s="2">
        <v>7</v>
      </c>
      <c r="D19" s="2">
        <v>0.08</v>
      </c>
      <c r="E19" s="3">
        <v>0.82879999999999998</v>
      </c>
      <c r="F19" s="3">
        <v>0.19</v>
      </c>
      <c r="G19" s="3">
        <v>9.0495999999999999</v>
      </c>
      <c r="H19" s="3">
        <v>3.92</v>
      </c>
    </row>
    <row r="20" spans="1:8" x14ac:dyDescent="0.2">
      <c r="B20" t="s">
        <v>3</v>
      </c>
      <c r="C20" s="2">
        <v>5</v>
      </c>
      <c r="D20" s="2">
        <v>1.29</v>
      </c>
      <c r="E20" s="3">
        <v>13.416</v>
      </c>
      <c r="F20" s="3">
        <v>0.09</v>
      </c>
      <c r="G20" s="3">
        <v>146.22150000000002</v>
      </c>
      <c r="H20" s="3">
        <v>8.6399999999999988</v>
      </c>
    </row>
    <row r="21" spans="1:8" x14ac:dyDescent="0.2">
      <c r="B21" t="s">
        <v>4</v>
      </c>
      <c r="C21" s="2">
        <v>4</v>
      </c>
      <c r="D21" s="2">
        <v>1.74</v>
      </c>
      <c r="E21" s="3">
        <v>6.1247999999999996</v>
      </c>
      <c r="F21" s="3">
        <v>6.9999999999999993E-2</v>
      </c>
      <c r="G21" s="3">
        <v>0</v>
      </c>
      <c r="H21" s="3">
        <v>0</v>
      </c>
    </row>
    <row r="24" spans="1:8" x14ac:dyDescent="0.2">
      <c r="A24" t="s">
        <v>6</v>
      </c>
    </row>
    <row r="25" spans="1:8" x14ac:dyDescent="0.2">
      <c r="E25" t="s">
        <v>8</v>
      </c>
      <c r="G25" t="s">
        <v>9</v>
      </c>
    </row>
    <row r="26" spans="1:8" x14ac:dyDescent="0.2">
      <c r="B26" t="s">
        <v>1</v>
      </c>
      <c r="C26" t="s">
        <v>14</v>
      </c>
      <c r="D26" t="s">
        <v>12</v>
      </c>
      <c r="E26" t="s">
        <v>11</v>
      </c>
      <c r="F26" t="s">
        <v>25</v>
      </c>
      <c r="G26" t="s">
        <v>10</v>
      </c>
      <c r="H26" t="s">
        <v>25</v>
      </c>
    </row>
    <row r="27" spans="1:8" x14ac:dyDescent="0.2">
      <c r="B27" t="s">
        <v>2</v>
      </c>
      <c r="C27" s="2">
        <v>4</v>
      </c>
      <c r="D27" s="2">
        <v>0.21</v>
      </c>
      <c r="E27" s="3">
        <v>1.7051999999999998</v>
      </c>
      <c r="F27" s="3">
        <v>0.16</v>
      </c>
      <c r="G27" s="3">
        <v>0</v>
      </c>
      <c r="H27" s="3">
        <v>0</v>
      </c>
    </row>
    <row r="28" spans="1:8" x14ac:dyDescent="0.2">
      <c r="B28" t="s">
        <v>3</v>
      </c>
      <c r="C28" s="2">
        <v>3</v>
      </c>
      <c r="D28" s="2">
        <v>1.97</v>
      </c>
      <c r="E28" s="3">
        <v>15.602399999999999</v>
      </c>
      <c r="F28" s="3">
        <v>0.23</v>
      </c>
      <c r="G28" s="3">
        <v>0</v>
      </c>
      <c r="H28" s="3">
        <v>0</v>
      </c>
    </row>
    <row r="29" spans="1:8" x14ac:dyDescent="0.2">
      <c r="B29" t="s">
        <v>4</v>
      </c>
      <c r="C29" s="2">
        <v>9</v>
      </c>
      <c r="D29" s="2">
        <v>1.72</v>
      </c>
      <c r="E29" s="3">
        <v>26.702999999999996</v>
      </c>
      <c r="F29" s="3">
        <v>0.39699999999999869</v>
      </c>
      <c r="G29" s="3">
        <v>0</v>
      </c>
      <c r="H29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A27D6-8931-624F-A0B2-EF2698C7C8AA}">
  <dimension ref="A3:H29"/>
  <sheetViews>
    <sheetView topLeftCell="B3" workbookViewId="0">
      <selection activeCell="H26" sqref="H26"/>
    </sheetView>
  </sheetViews>
  <sheetFormatPr baseColWidth="10" defaultRowHeight="16" x14ac:dyDescent="0.2"/>
  <cols>
    <col min="2" max="2" width="17.1640625" customWidth="1"/>
    <col min="3" max="3" width="41" customWidth="1"/>
    <col min="4" max="4" width="19" customWidth="1"/>
    <col min="5" max="5" width="46.33203125" customWidth="1"/>
    <col min="7" max="7" width="44.6640625" customWidth="1"/>
  </cols>
  <sheetData>
    <row r="3" spans="1:8" x14ac:dyDescent="0.2">
      <c r="A3" s="1" t="s">
        <v>7</v>
      </c>
    </row>
    <row r="5" spans="1:8" x14ac:dyDescent="0.2">
      <c r="A5" t="s">
        <v>0</v>
      </c>
    </row>
    <row r="6" spans="1:8" x14ac:dyDescent="0.2">
      <c r="E6" t="s">
        <v>8</v>
      </c>
      <c r="G6" t="s">
        <v>9</v>
      </c>
    </row>
    <row r="7" spans="1:8" x14ac:dyDescent="0.2">
      <c r="B7" t="s">
        <v>1</v>
      </c>
      <c r="C7" t="s">
        <v>15</v>
      </c>
      <c r="D7" t="s">
        <v>12</v>
      </c>
      <c r="E7" t="s">
        <v>11</v>
      </c>
      <c r="F7" t="s">
        <v>25</v>
      </c>
      <c r="G7" t="s">
        <v>10</v>
      </c>
      <c r="H7" t="s">
        <v>25</v>
      </c>
    </row>
    <row r="8" spans="1:8" x14ac:dyDescent="0.2">
      <c r="B8" t="s">
        <v>2</v>
      </c>
      <c r="C8" s="3">
        <v>20.77</v>
      </c>
      <c r="D8" s="2">
        <v>0.03</v>
      </c>
      <c r="E8" s="3">
        <v>0.21496153846153848</v>
      </c>
      <c r="F8" s="3">
        <v>8.5755769230769247E-2</v>
      </c>
      <c r="G8" s="3">
        <v>0.96576923076923071</v>
      </c>
      <c r="H8" s="3">
        <v>0.44833461538461539</v>
      </c>
    </row>
    <row r="9" spans="1:8" x14ac:dyDescent="0.2">
      <c r="B9" t="s">
        <v>3</v>
      </c>
      <c r="C9" s="3">
        <v>9.23</v>
      </c>
      <c r="D9" s="2">
        <v>0.08</v>
      </c>
      <c r="E9" s="3">
        <v>4.0578461538461532</v>
      </c>
      <c r="F9" s="3">
        <v>2.1121230769230768</v>
      </c>
      <c r="G9" s="3">
        <v>30.82707692307692</v>
      </c>
      <c r="H9" s="3">
        <v>12.195938461538461</v>
      </c>
    </row>
    <row r="10" spans="1:8" x14ac:dyDescent="0.2">
      <c r="B10" t="s">
        <v>4</v>
      </c>
      <c r="C10" s="3">
        <v>10</v>
      </c>
      <c r="D10" s="2" t="s">
        <v>13</v>
      </c>
      <c r="E10" s="3">
        <v>18.984000000000002</v>
      </c>
      <c r="F10" s="3">
        <v>7.9039999999999901</v>
      </c>
      <c r="G10" s="3">
        <v>172.07399999999998</v>
      </c>
      <c r="H10" s="3">
        <v>58.261999999999979</v>
      </c>
    </row>
    <row r="16" spans="1:8" x14ac:dyDescent="0.2">
      <c r="A16" t="s">
        <v>5</v>
      </c>
    </row>
    <row r="17" spans="1:8" x14ac:dyDescent="0.2">
      <c r="E17" t="s">
        <v>8</v>
      </c>
      <c r="G17" t="s">
        <v>9</v>
      </c>
    </row>
    <row r="18" spans="1:8" x14ac:dyDescent="0.2">
      <c r="B18" t="s">
        <v>1</v>
      </c>
      <c r="C18" t="s">
        <v>15</v>
      </c>
      <c r="D18" t="s">
        <v>12</v>
      </c>
      <c r="E18" t="s">
        <v>11</v>
      </c>
      <c r="F18" t="s">
        <v>25</v>
      </c>
      <c r="G18" t="s">
        <v>10</v>
      </c>
      <c r="H18" t="s">
        <v>25</v>
      </c>
    </row>
    <row r="19" spans="1:8" x14ac:dyDescent="0.2">
      <c r="B19" t="s">
        <v>2</v>
      </c>
      <c r="C19" s="3">
        <v>35</v>
      </c>
      <c r="D19" s="2">
        <v>0.08</v>
      </c>
      <c r="E19" s="3">
        <v>0.82879999999999998</v>
      </c>
      <c r="F19" s="3">
        <v>0.19</v>
      </c>
      <c r="G19" s="3">
        <v>45.248000000000005</v>
      </c>
      <c r="H19" s="3">
        <v>22.019200000000005</v>
      </c>
    </row>
    <row r="20" spans="1:8" x14ac:dyDescent="0.2">
      <c r="B20" t="s">
        <v>3</v>
      </c>
      <c r="C20" s="3">
        <v>5</v>
      </c>
      <c r="D20" s="2">
        <v>1.29</v>
      </c>
      <c r="E20" s="3">
        <v>13.416</v>
      </c>
      <c r="F20" s="3">
        <v>0.09</v>
      </c>
      <c r="G20" s="3">
        <v>146.22150000000002</v>
      </c>
      <c r="H20" s="3">
        <v>8.64</v>
      </c>
    </row>
    <row r="21" spans="1:8" x14ac:dyDescent="0.2">
      <c r="B21" t="s">
        <v>4</v>
      </c>
      <c r="C21" s="3">
        <v>4</v>
      </c>
      <c r="D21" s="2">
        <v>1.74</v>
      </c>
      <c r="E21" s="3">
        <v>6.1247999999999996</v>
      </c>
      <c r="F21" s="3">
        <v>6.9999999999999993E-2</v>
      </c>
      <c r="G21" s="3">
        <v>0</v>
      </c>
      <c r="H21" s="3">
        <v>0</v>
      </c>
    </row>
    <row r="24" spans="1:8" x14ac:dyDescent="0.2">
      <c r="A24" t="s">
        <v>6</v>
      </c>
    </row>
    <row r="25" spans="1:8" x14ac:dyDescent="0.2">
      <c r="E25" t="s">
        <v>8</v>
      </c>
      <c r="G25" t="s">
        <v>9</v>
      </c>
    </row>
    <row r="26" spans="1:8" x14ac:dyDescent="0.2">
      <c r="B26" t="s">
        <v>1</v>
      </c>
      <c r="C26" t="s">
        <v>15</v>
      </c>
      <c r="D26" t="s">
        <v>12</v>
      </c>
      <c r="E26" t="s">
        <v>11</v>
      </c>
      <c r="F26" t="s">
        <v>25</v>
      </c>
      <c r="G26" t="s">
        <v>10</v>
      </c>
      <c r="H26" t="s">
        <v>25</v>
      </c>
    </row>
    <row r="27" spans="1:8" x14ac:dyDescent="0.2">
      <c r="B27" t="s">
        <v>2</v>
      </c>
      <c r="C27" s="3">
        <v>33</v>
      </c>
      <c r="D27" s="2">
        <v>0.21</v>
      </c>
      <c r="E27" s="3">
        <v>14.067899999999998</v>
      </c>
      <c r="F27" s="3">
        <v>6.3413499999999994</v>
      </c>
      <c r="G27" s="3">
        <v>0</v>
      </c>
      <c r="H27" s="3">
        <v>0</v>
      </c>
    </row>
    <row r="28" spans="1:8" x14ac:dyDescent="0.2">
      <c r="B28" t="s">
        <v>3</v>
      </c>
      <c r="C28" s="3">
        <v>3</v>
      </c>
      <c r="D28" s="2">
        <v>1.97</v>
      </c>
      <c r="E28" s="3">
        <v>15.602399999999999</v>
      </c>
      <c r="F28" s="3">
        <v>0.23</v>
      </c>
      <c r="G28" s="3">
        <v>0</v>
      </c>
      <c r="H28" s="3">
        <v>0</v>
      </c>
    </row>
    <row r="29" spans="1:8" x14ac:dyDescent="0.2">
      <c r="B29" t="s">
        <v>4</v>
      </c>
      <c r="C29" s="3">
        <v>9</v>
      </c>
      <c r="D29" s="2">
        <v>1.72</v>
      </c>
      <c r="E29" s="3">
        <v>26.702999999999999</v>
      </c>
      <c r="F29" s="3">
        <v>0.3970000000000008</v>
      </c>
      <c r="G29" s="3">
        <v>0</v>
      </c>
      <c r="H29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18948-EE96-2240-BBA3-B5CBDAA70DDA}">
  <dimension ref="A3:J29"/>
  <sheetViews>
    <sheetView workbookViewId="0">
      <selection activeCell="B7" sqref="B7"/>
    </sheetView>
  </sheetViews>
  <sheetFormatPr baseColWidth="10" defaultRowHeight="16" x14ac:dyDescent="0.2"/>
  <cols>
    <col min="2" max="2" width="30.33203125" customWidth="1"/>
    <col min="3" max="3" width="31" customWidth="1"/>
    <col min="4" max="4" width="19" customWidth="1"/>
    <col min="5" max="5" width="46.33203125" customWidth="1"/>
    <col min="6" max="6" width="17.6640625" customWidth="1"/>
    <col min="7" max="7" width="44.6640625" customWidth="1"/>
    <col min="9" max="9" width="21.33203125" customWidth="1"/>
    <col min="10" max="10" width="20.1640625" customWidth="1"/>
  </cols>
  <sheetData>
    <row r="3" spans="1:10" x14ac:dyDescent="0.2">
      <c r="A3" s="1" t="s">
        <v>16</v>
      </c>
    </row>
    <row r="5" spans="1:10" x14ac:dyDescent="0.2">
      <c r="A5" t="s">
        <v>0</v>
      </c>
    </row>
    <row r="6" spans="1:10" x14ac:dyDescent="0.2">
      <c r="H6" t="s">
        <v>23</v>
      </c>
    </row>
    <row r="7" spans="1:10" x14ac:dyDescent="0.2">
      <c r="B7" t="s">
        <v>17</v>
      </c>
      <c r="C7" t="s">
        <v>18</v>
      </c>
      <c r="D7" t="s">
        <v>12</v>
      </c>
      <c r="E7" s="2" t="s">
        <v>19</v>
      </c>
      <c r="F7" t="s">
        <v>1</v>
      </c>
      <c r="G7" t="s">
        <v>14</v>
      </c>
      <c r="H7" t="s">
        <v>22</v>
      </c>
      <c r="J7" t="s">
        <v>24</v>
      </c>
    </row>
    <row r="8" spans="1:10" x14ac:dyDescent="0.2">
      <c r="B8">
        <v>40</v>
      </c>
      <c r="C8" s="2">
        <v>23</v>
      </c>
      <c r="D8" s="2">
        <v>0.03</v>
      </c>
      <c r="E8" s="3" t="s">
        <v>20</v>
      </c>
      <c r="F8" s="3" t="s">
        <v>2</v>
      </c>
      <c r="G8" s="3">
        <v>9</v>
      </c>
      <c r="H8" s="3">
        <f>(B8-G10)*(9/13)</f>
        <v>20.76923076923077</v>
      </c>
      <c r="J8" s="4">
        <f>(H8/G8)</f>
        <v>2.3076923076923079</v>
      </c>
    </row>
    <row r="9" spans="1:10" x14ac:dyDescent="0.2">
      <c r="C9" s="2"/>
      <c r="D9" s="2">
        <v>0.08</v>
      </c>
      <c r="E9" s="3" t="s">
        <v>20</v>
      </c>
      <c r="F9" s="3" t="s">
        <v>3</v>
      </c>
      <c r="G9" s="3">
        <v>4</v>
      </c>
      <c r="H9" s="3">
        <f>(B8-G10)*(4/13)</f>
        <v>9.2307692307692317</v>
      </c>
    </row>
    <row r="10" spans="1:10" x14ac:dyDescent="0.2">
      <c r="C10" s="2"/>
      <c r="D10" s="2" t="s">
        <v>13</v>
      </c>
      <c r="E10" s="3" t="s">
        <v>21</v>
      </c>
      <c r="F10" s="3" t="s">
        <v>4</v>
      </c>
      <c r="G10" s="3">
        <v>10</v>
      </c>
      <c r="H10" s="3">
        <v>10</v>
      </c>
    </row>
    <row r="16" spans="1:10" x14ac:dyDescent="0.2">
      <c r="A16" t="s">
        <v>5</v>
      </c>
    </row>
    <row r="17" spans="1:10" x14ac:dyDescent="0.2">
      <c r="H17" t="s">
        <v>23</v>
      </c>
    </row>
    <row r="18" spans="1:10" x14ac:dyDescent="0.2">
      <c r="B18" t="s">
        <v>17</v>
      </c>
      <c r="C18" t="s">
        <v>18</v>
      </c>
      <c r="D18" t="s">
        <v>12</v>
      </c>
      <c r="E18" s="2" t="s">
        <v>19</v>
      </c>
      <c r="F18" t="s">
        <v>1</v>
      </c>
      <c r="G18" t="s">
        <v>14</v>
      </c>
      <c r="H18" t="s">
        <v>22</v>
      </c>
      <c r="J18" t="s">
        <v>24</v>
      </c>
    </row>
    <row r="19" spans="1:10" x14ac:dyDescent="0.2">
      <c r="B19">
        <v>44</v>
      </c>
      <c r="C19" s="2">
        <v>16</v>
      </c>
      <c r="D19" s="2">
        <v>0.08</v>
      </c>
      <c r="E19" s="3" t="s">
        <v>20</v>
      </c>
      <c r="F19" s="3" t="s">
        <v>2</v>
      </c>
      <c r="G19" s="3">
        <v>7</v>
      </c>
      <c r="H19" s="3">
        <f>(B19-G20-G21)</f>
        <v>35</v>
      </c>
      <c r="J19" s="4">
        <f>(H19/G19)</f>
        <v>5</v>
      </c>
    </row>
    <row r="20" spans="1:10" x14ac:dyDescent="0.2">
      <c r="C20" s="2"/>
      <c r="D20" s="2">
        <v>1.29</v>
      </c>
      <c r="E20" s="3" t="s">
        <v>21</v>
      </c>
      <c r="F20" s="3" t="s">
        <v>3</v>
      </c>
      <c r="G20" s="3">
        <v>5</v>
      </c>
      <c r="H20" s="3">
        <v>5</v>
      </c>
    </row>
    <row r="21" spans="1:10" x14ac:dyDescent="0.2">
      <c r="C21" s="2"/>
      <c r="D21" s="2">
        <v>1.74</v>
      </c>
      <c r="E21" s="3" t="s">
        <v>21</v>
      </c>
      <c r="F21" s="3" t="s">
        <v>4</v>
      </c>
      <c r="G21" s="3">
        <v>4</v>
      </c>
      <c r="H21" s="3">
        <v>4</v>
      </c>
    </row>
    <row r="24" spans="1:10" x14ac:dyDescent="0.2">
      <c r="A24" t="s">
        <v>6</v>
      </c>
    </row>
    <row r="25" spans="1:10" x14ac:dyDescent="0.2">
      <c r="H25" t="s">
        <v>23</v>
      </c>
    </row>
    <row r="26" spans="1:10" x14ac:dyDescent="0.2">
      <c r="B26" t="s">
        <v>17</v>
      </c>
      <c r="C26" t="s">
        <v>18</v>
      </c>
      <c r="D26" t="s">
        <v>12</v>
      </c>
      <c r="E26" s="2" t="s">
        <v>19</v>
      </c>
      <c r="F26" t="s">
        <v>1</v>
      </c>
      <c r="G26" t="s">
        <v>14</v>
      </c>
      <c r="H26" t="s">
        <v>22</v>
      </c>
      <c r="J26" t="s">
        <v>24</v>
      </c>
    </row>
    <row r="27" spans="1:10" x14ac:dyDescent="0.2">
      <c r="B27">
        <v>45</v>
      </c>
      <c r="C27" s="2">
        <v>16</v>
      </c>
      <c r="D27" s="2">
        <v>0.21</v>
      </c>
      <c r="E27" s="3" t="s">
        <v>20</v>
      </c>
      <c r="F27" s="3" t="s">
        <v>2</v>
      </c>
      <c r="G27" s="3">
        <v>4</v>
      </c>
      <c r="H27" s="3">
        <f>B27-G28-G29</f>
        <v>33</v>
      </c>
      <c r="J27" s="4">
        <f>(H27/G27)</f>
        <v>8.25</v>
      </c>
    </row>
    <row r="28" spans="1:10" x14ac:dyDescent="0.2">
      <c r="C28" s="2"/>
      <c r="D28" s="2">
        <v>1.97</v>
      </c>
      <c r="E28" s="3" t="s">
        <v>21</v>
      </c>
      <c r="F28" s="3" t="s">
        <v>3</v>
      </c>
      <c r="G28" s="3">
        <v>3</v>
      </c>
      <c r="H28" s="3">
        <v>3</v>
      </c>
    </row>
    <row r="29" spans="1:10" x14ac:dyDescent="0.2">
      <c r="C29" s="2"/>
      <c r="D29" s="2">
        <v>1.72</v>
      </c>
      <c r="E29" s="3" t="s">
        <v>21</v>
      </c>
      <c r="F29" s="3" t="s">
        <v>4</v>
      </c>
      <c r="G29" s="3">
        <v>9</v>
      </c>
      <c r="H29" s="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 compaction corrected</vt:lpstr>
      <vt:lpstr>Compaction corrected</vt:lpstr>
      <vt:lpstr>Calculation of compaction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Monique Patzner</dc:creator>
  <cp:lastModifiedBy>Monique Patzner</cp:lastModifiedBy>
  <dcterms:created xsi:type="dcterms:W3CDTF">2020-10-11T14:59:05Z</dcterms:created>
  <dcterms:modified xsi:type="dcterms:W3CDTF">2020-10-14T11:43:59Z</dcterms:modified>
</cp:coreProperties>
</file>